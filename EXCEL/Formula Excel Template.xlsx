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ING\EXCEL\"/>
    </mc:Choice>
  </mc:AlternateContent>
  <xr:revisionPtr revIDLastSave="0" documentId="13_ncr:1_{3B365CE6-18BA-4C2D-B261-BE62AE3FD3DB}" xr6:coauthVersionLast="47" xr6:coauthVersionMax="47" xr10:uidLastSave="{00000000-0000-0000-0000-000000000000}"/>
  <bookViews>
    <workbookView xWindow="-108" yWindow="-108" windowWidth="23256" windowHeight="14616" firstSheet="3" activeTab="8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Substitute" sheetId="7" r:id="rId7"/>
    <sheet name="SUM-SumIF" sheetId="12" r:id="rId8"/>
    <sheet name="Count-CountIF" sheetId="5" r:id="rId9"/>
    <sheet name="Chart1" sheetId="16" r:id="rId10"/>
    <sheet name="Concatenate" sheetId="1" r:id="rId11"/>
    <sheet name="Days-NetworkDays" sheetId="1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5" l="1"/>
  <c r="L4" i="5"/>
  <c r="L5" i="5"/>
  <c r="L6" i="5"/>
  <c r="L7" i="5"/>
  <c r="L8" i="5"/>
  <c r="L9" i="5"/>
  <c r="L10" i="5"/>
  <c r="L2" i="5"/>
  <c r="K3" i="5"/>
  <c r="K4" i="5"/>
  <c r="K5" i="5"/>
  <c r="K6" i="5"/>
  <c r="K7" i="5"/>
  <c r="K8" i="5"/>
  <c r="K9" i="5"/>
  <c r="K10" i="5"/>
  <c r="K2" i="5"/>
  <c r="J3" i="5"/>
  <c r="J4" i="5"/>
  <c r="J5" i="5"/>
  <c r="J6" i="5"/>
  <c r="J7" i="5"/>
  <c r="J8" i="5"/>
  <c r="J9" i="5"/>
  <c r="J10" i="5"/>
  <c r="J2" i="5"/>
  <c r="L3" i="12"/>
  <c r="L4" i="12"/>
  <c r="L5" i="12"/>
  <c r="L6" i="12"/>
  <c r="L7" i="12"/>
  <c r="L8" i="12"/>
  <c r="L9" i="12"/>
  <c r="L10" i="12"/>
  <c r="L2" i="12"/>
  <c r="K3" i="12"/>
  <c r="K4" i="12"/>
  <c r="K5" i="12"/>
  <c r="K6" i="12"/>
  <c r="K7" i="12"/>
  <c r="K8" i="12"/>
  <c r="K9" i="12"/>
  <c r="K10" i="12"/>
  <c r="K2" i="12"/>
  <c r="J3" i="12"/>
  <c r="J4" i="12"/>
  <c r="J5" i="12"/>
  <c r="J6" i="12"/>
  <c r="J7" i="12"/>
  <c r="J8" i="12"/>
  <c r="J9" i="12"/>
  <c r="J10" i="12"/>
  <c r="J2" i="12"/>
  <c r="J2" i="7" a="1"/>
  <c r="J2" i="7" s="1"/>
  <c r="K2" i="7" a="1"/>
  <c r="K2" i="7" s="1"/>
  <c r="L3" i="7"/>
  <c r="L4" i="7"/>
  <c r="L5" i="7"/>
  <c r="L6" i="7"/>
  <c r="L7" i="7"/>
  <c r="L8" i="7"/>
  <c r="L9" i="7"/>
  <c r="L10" i="7"/>
  <c r="L11" i="7"/>
  <c r="L12" i="7"/>
  <c r="L2" i="7"/>
  <c r="M3" i="1"/>
  <c r="M4" i="1"/>
  <c r="M5" i="1"/>
  <c r="M6" i="1"/>
  <c r="M7" i="1"/>
  <c r="M8" i="1"/>
  <c r="M9" i="1"/>
  <c r="M10" i="1"/>
  <c r="M2" i="1"/>
  <c r="L3" i="1"/>
  <c r="L4" i="1"/>
  <c r="L5" i="1"/>
  <c r="L6" i="1"/>
  <c r="L7" i="1"/>
  <c r="L8" i="1"/>
  <c r="L9" i="1"/>
  <c r="L10" i="1"/>
  <c r="K3" i="1"/>
  <c r="K4" i="1"/>
  <c r="K5" i="1"/>
  <c r="K6" i="1"/>
  <c r="K7" i="1"/>
  <c r="K8" i="1"/>
  <c r="K9" i="1"/>
  <c r="K10" i="1"/>
  <c r="L2" i="1"/>
  <c r="K2" i="1"/>
  <c r="J3" i="1"/>
  <c r="J4" i="1"/>
  <c r="J5" i="1"/>
  <c r="J6" i="1"/>
  <c r="J7" i="1"/>
  <c r="J8" i="1"/>
  <c r="J9" i="1"/>
  <c r="J10" i="1"/>
  <c r="J11" i="1"/>
  <c r="J2" i="1"/>
  <c r="J2" i="6" a="1"/>
  <c r="J2" i="6" s="1"/>
  <c r="J2" i="3" a="1"/>
  <c r="J2" i="3" s="1"/>
  <c r="O2" i="4" a="1"/>
  <c r="O2" i="4" s="1"/>
  <c r="N2" i="4" a="1"/>
  <c r="N2" i="4" s="1"/>
  <c r="M2" i="4" a="1"/>
  <c r="M2" i="4" s="1"/>
  <c r="L2" i="4" a="1"/>
  <c r="L2" i="4" s="1"/>
  <c r="K2" i="4" a="1"/>
  <c r="K2" i="4" s="1"/>
  <c r="K2" i="2" a="1"/>
  <c r="K2" i="2" s="1"/>
  <c r="J2" i="2" a="1"/>
  <c r="J2" i="2" s="1"/>
  <c r="K2" i="8" a="1"/>
  <c r="K2" i="8" s="1"/>
  <c r="J2" i="8" a="1"/>
  <c r="J2" i="8" s="1"/>
  <c r="J6" i="9"/>
  <c r="J5" i="9"/>
  <c r="J4" i="9"/>
  <c r="K3" i="9"/>
  <c r="J3" i="9"/>
  <c r="K2" i="9"/>
  <c r="J2" i="9"/>
  <c r="H11" i="1"/>
  <c r="H1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<sst xmlns="http://schemas.openxmlformats.org/spreadsheetml/2006/main" count="586" uniqueCount="91">
  <si>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</si>
  <si>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</si>
  <si>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</si>
  <si>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</si>
  <si>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</si>
  <si>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</si>
  <si>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</si>
  <si>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</si>
  <si>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</si>
  <si>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</si>
  <si>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</si>
  <si>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</si>
  <si>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</si>
  <si>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</si>
  <si>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</si>
  <si>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</si>
  <si>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</si>
  <si>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</si>
  <si>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</si>
  <si>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</si>
  <si>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</si>
  <si>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</si>
  <si>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</si>
  <si>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</si>
  <si>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</si>
  <si>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</si>
  <si>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</si>
  <si>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</si>
  <si>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</si>
  <si>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</si>
  <si>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</si>
  <si>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</si>
  <si>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</si>
  <si>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</si>
  <si>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</si>
  <si>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</si>
  <si>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</si>
  <si>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</si>
  <si>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</si>
  <si>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</si>
  <si>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</si>
  <si>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</si>
  <si>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</si>
  <si>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</si>
  <si>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</si>
  <si>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</si>
  <si>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</si>
  <si>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</si>
  <si>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</si>
  <si>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</si>
  <si>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</si>
  <si>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</si>
  <si>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</si>
  <si>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</si>
  <si>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</si>
  <si>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</si>
  <si>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</si>
  <si>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</si>
  <si>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</si>
  <si>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</si>
  <si>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</si>
  <si>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</si>
  <si>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</si>
  <si>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</si>
  <si>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</si>
  <si>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</si>
  <si>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</si>
  <si>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</si>
  <si>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</si>
  <si>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</si>
  <si>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</si>
  <si>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</si>
  <si>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</si>
  <si>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</si>
  <si>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</si>
  <si>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</si>
  <si>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</si>
  <si>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</si>
  <si>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</si>
  <si>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</si>
  <si>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</si>
  <si>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</si>
  <si>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</si>
  <si>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</si>
  <si>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</si>
  <si>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</si>
  <si>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</si>
  <si>
    <t xml:space="preserve">date length </t>
  </si>
  <si>
    <t xml:space="preserve">date format </t>
  </si>
  <si>
    <t xml:space="preserve">creating a gmail for every one </t>
  </si>
  <si>
    <t>with 2 instance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</si>
</sst>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chartsheet" Target="chartsheets/sheet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1929071"/>
        <c:axId val="2041918991"/>
      </c:barChart>
      <c:catAx>
        <c:axId val="20419290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918991"/>
        <c:crosses val="autoZero"/>
        <c:auto val="1"/>
        <c:lblAlgn val="ctr"/>
        <c:lblOffset val="100"/>
        <c:noMultiLvlLbl val="0"/>
      </c:catAx>
      <c:valAx>
        <c:axId val="2041918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929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7886A77-8C84-4AA8-BA2D-F8E16CDF4B49}">
  <sheetPr>
    <tabColor theme="9"/>
  </sheetPr>
  <sheetViews>
    <sheetView zoomScale="10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126" cy="628095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663A30-8F23-1A55-E212-6412BE90A6D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K10"/>
  <sheetViews>
    <sheetView workbookViewId="0">
      <selection activeCell="J7" sqref="J7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79</v>
      </c>
      <c r="K1" t="s">
        <v>80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>
        <f>MAX(H2:H10)</f>
        <v>37933</v>
      </c>
      <c r="K2" s="1">
        <f>MIN(I2:I10)</f>
        <v>40800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>MAX(G2:G10)</f>
        <v>65000</v>
      </c>
      <c r="K3">
        <f>MIN(G2:G10)</f>
        <v>36000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f>MAX(B2:B10)</f>
        <v>0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f>MAX(E1)</f>
        <v>0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f>MAX(F2:F10)</f>
        <v>0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0"/>
  <sheetViews>
    <sheetView workbookViewId="0">
      <selection activeCell="K3" sqref="K3"/>
    </sheetView>
  </sheetViews>
  <sheetFormatPr defaultColWidth="13.6640625" defaultRowHeight="14.4" x14ac:dyDescent="0.3"/>
  <cols>
    <col min="1" max="1" width="10.77734375" bestFit="1" customWidth="1"/>
    <col min="4" max="4" width="7.6640625" customWidth="1"/>
    <col min="11" max="11" width="18.8867187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81</v>
      </c>
      <c r="K1" t="s">
        <v>82</v>
      </c>
    </row>
    <row r="2" spans="1:11" x14ac:dyDescent="0.3">
      <c r="A2">
        <v>1004</v>
      </c>
      <c r="B2" t="s">
        <v>13</v>
      </c>
      <c r="C2" t="s">
        <v>12</v>
      </c>
      <c r="D2">
        <v>31</v>
      </c>
      <c r="E2" t="s">
        <v>28</v>
      </c>
      <c r="F2" t="s">
        <v>29</v>
      </c>
      <c r="G2">
        <v>47000</v>
      </c>
      <c r="H2" s="1">
        <v>36530</v>
      </c>
      <c r="I2" s="1">
        <v>42341</v>
      </c>
      <c r="J2" t="str" cm="1">
        <f t="array" ref="J2:J10">IF(D2:D10 &gt;=30, "old","young")</f>
        <v>old</v>
      </c>
      <c r="K2" t="str" cm="1">
        <f t="array" ref="K2:K10">_xlfn.IFS(F2:F10="salesman","sales",F2:F10="Accountant","handles cash",F2:F10="Supplier Relations","manages relation ")</f>
        <v>handles cash</v>
      </c>
    </row>
    <row r="3" spans="1:11" x14ac:dyDescent="0.3">
      <c r="A3">
        <v>1003</v>
      </c>
      <c r="B3" t="s">
        <v>6</v>
      </c>
      <c r="C3" t="s">
        <v>7</v>
      </c>
      <c r="D3">
        <v>29</v>
      </c>
      <c r="E3" t="s">
        <v>26</v>
      </c>
      <c r="F3" t="s">
        <v>25</v>
      </c>
      <c r="G3">
        <v>63000</v>
      </c>
      <c r="H3" s="1">
        <v>36711</v>
      </c>
      <c r="I3" s="1">
        <v>42986</v>
      </c>
      <c r="J3" t="str">
        <v>young</v>
      </c>
      <c r="K3" t="str">
        <v>sales</v>
      </c>
    </row>
    <row r="4" spans="1:11" x14ac:dyDescent="0.3">
      <c r="A4">
        <v>1001</v>
      </c>
      <c r="B4" t="s">
        <v>2</v>
      </c>
      <c r="C4" t="s">
        <v>3</v>
      </c>
      <c r="D4">
        <v>30</v>
      </c>
      <c r="E4" t="s">
        <v>26</v>
      </c>
      <c r="F4" t="s">
        <v>25</v>
      </c>
      <c r="G4">
        <v>45000</v>
      </c>
      <c r="H4" s="1">
        <v>37197</v>
      </c>
      <c r="I4" s="1">
        <v>42253</v>
      </c>
      <c r="J4" t="str">
        <v>old</v>
      </c>
      <c r="K4" t="str">
        <v>sales</v>
      </c>
    </row>
    <row r="5" spans="1:11" x14ac:dyDescent="0.3">
      <c r="A5">
        <v>1009</v>
      </c>
      <c r="B5" t="s">
        <v>10</v>
      </c>
      <c r="C5" t="s">
        <v>11</v>
      </c>
      <c r="D5">
        <v>31</v>
      </c>
      <c r="E5" t="s">
        <v>26</v>
      </c>
      <c r="F5" t="s">
        <v>29</v>
      </c>
      <c r="G5">
        <v>42000</v>
      </c>
      <c r="H5" s="1">
        <v>37843</v>
      </c>
      <c r="I5" s="1">
        <v>40800</v>
      </c>
      <c r="J5" t="str">
        <v>old</v>
      </c>
      <c r="K5" t="str">
        <v>handles cash</v>
      </c>
    </row>
    <row r="6" spans="1:11" x14ac:dyDescent="0.3">
      <c r="A6">
        <v>1007</v>
      </c>
      <c r="B6" t="s">
        <v>33</v>
      </c>
      <c r="C6" t="s">
        <v>34</v>
      </c>
      <c r="D6">
        <v>32</v>
      </c>
      <c r="E6" t="s">
        <v>28</v>
      </c>
      <c r="F6" t="s">
        <v>32</v>
      </c>
      <c r="G6">
        <v>41000</v>
      </c>
      <c r="H6" s="1">
        <v>37933</v>
      </c>
      <c r="I6" s="1">
        <v>41551</v>
      </c>
      <c r="J6" t="str">
        <v>old</v>
      </c>
      <c r="K6" t="str">
        <v xml:space="preserve">manages relation 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old</v>
      </c>
      <c r="K7" t="e">
        <v>#N/A</v>
      </c>
    </row>
    <row r="8" spans="1:11" x14ac:dyDescent="0.3">
      <c r="A8">
        <v>1002</v>
      </c>
      <c r="B8" t="s">
        <v>4</v>
      </c>
      <c r="C8" t="s">
        <v>5</v>
      </c>
      <c r="D8">
        <v>30</v>
      </c>
      <c r="E8" t="s">
        <v>28</v>
      </c>
      <c r="F8" t="s">
        <v>27</v>
      </c>
      <c r="G8">
        <v>36000</v>
      </c>
      <c r="H8" s="1">
        <v>36436</v>
      </c>
      <c r="I8" s="1">
        <v>42287</v>
      </c>
      <c r="J8" t="str">
        <v>old</v>
      </c>
      <c r="K8" t="e">
        <v>#N/A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old</v>
      </c>
      <c r="K9" t="str">
        <v>sales</v>
      </c>
    </row>
    <row r="10" spans="1:11" x14ac:dyDescent="0.3">
      <c r="A10">
        <v>1005</v>
      </c>
      <c r="B10" t="s">
        <v>14</v>
      </c>
      <c r="C10" t="s">
        <v>15</v>
      </c>
      <c r="D10">
        <v>32</v>
      </c>
      <c r="E10" t="s">
        <v>26</v>
      </c>
      <c r="F10" t="s">
        <v>30</v>
      </c>
      <c r="G10">
        <v>50000</v>
      </c>
      <c r="H10" s="1">
        <v>37017</v>
      </c>
      <c r="I10" s="1">
        <v>42977</v>
      </c>
      <c r="J10" t="str">
        <v>old</v>
      </c>
      <c r="K10" t="e">
        <v>#N/A</v>
      </c>
    </row>
  </sheetData>
  <sortState xmlns:xlrd2="http://schemas.microsoft.com/office/spreadsheetml/2017/richdata2" ref="A2:K10">
    <sortCondition ref="B1:B1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1"/>
  <sheetViews>
    <sheetView workbookViewId="0">
      <selection activeCell="K3" sqref="K3"/>
    </sheetView>
  </sheetViews>
  <sheetFormatPr defaultColWidth="10.88671875" defaultRowHeight="14.4" x14ac:dyDescent="0.3"/>
  <cols>
    <col min="1" max="1" width="10.77734375" bestFit="1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K1" t="s">
        <v>87</v>
      </c>
      <c r="L1" t="s">
        <v>35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cm="1">
        <f t="array" ref="J2:J11">LEN(C2:C11)</f>
        <v>7</v>
      </c>
      <c r="K2" cm="1">
        <f t="array" ref="K2:K11">LEN(H2:H11)</f>
        <v>5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v>7</v>
      </c>
      <c r="K3">
        <v>5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v>7</v>
      </c>
      <c r="K4">
        <v>5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v>6</v>
      </c>
      <c r="K5">
        <v>5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v>10</v>
      </c>
      <c r="K6">
        <v>5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v>5</v>
      </c>
      <c r="K7">
        <v>5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v>6</v>
      </c>
      <c r="K8">
        <v>5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v>6</v>
      </c>
      <c r="K9">
        <v>5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v>6</v>
      </c>
      <c r="K10">
        <v>5</v>
      </c>
    </row>
    <row r="11" spans="1:12" x14ac:dyDescent="0.3">
      <c r="J11">
        <v>0</v>
      </c>
      <c r="K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O10"/>
  <sheetViews>
    <sheetView topLeftCell="E1" workbookViewId="0">
      <selection activeCell="O3" sqref="O3"/>
    </sheetView>
  </sheetViews>
  <sheetFormatPr defaultColWidth="14.5546875" defaultRowHeight="14.4" x14ac:dyDescent="0.3"/>
  <cols>
    <col min="4" max="4" width="8" customWidth="1"/>
    <col min="10" max="10" width="32.33203125" bestFit="1" customWidth="1"/>
  </cols>
  <sheetData>
    <row r="1" spans="1:15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85</v>
      </c>
      <c r="L1" t="s">
        <v>86</v>
      </c>
      <c r="M1" t="s">
        <v>86</v>
      </c>
      <c r="N1" t="s">
        <v>88</v>
      </c>
    </row>
    <row r="2" spans="1:15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s="1" t="s">
        <v>39</v>
      </c>
      <c r="K2" t="str" cm="1">
        <f t="array" ref="K2:K10">LEFT(C2:C10,4)</f>
        <v>Halp</v>
      </c>
      <c r="L2" t="str" cm="1">
        <f t="array" ref="L2:L10">RIGHT(F2:F10,3)</f>
        <v>man</v>
      </c>
      <c r="M2" t="str" cm="1">
        <f t="array" ref="M2:M10">RIGHT(I2:I10,4)</f>
        <v>2015</v>
      </c>
      <c r="N2" t="str" cm="1">
        <f t="array" ref="N2:N10">TEXT(I2:I10,"dd/mm/yyyy")</f>
        <v>09/06/2015</v>
      </c>
      <c r="O2" t="str" cm="1">
        <f t="array" ref="O2:O10">RIGHT(_xlfn.ANCHORARRAY(N2),4)</f>
        <v>2015</v>
      </c>
    </row>
    <row r="3" spans="1:15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s="1" t="s">
        <v>40</v>
      </c>
      <c r="K3" t="str">
        <v>Beas</v>
      </c>
      <c r="L3" t="str">
        <v>ist</v>
      </c>
      <c r="M3" t="str">
        <v>2015</v>
      </c>
      <c r="N3" t="str">
        <v>10/10/2015</v>
      </c>
      <c r="O3" t="str">
        <v>2015</v>
      </c>
    </row>
    <row r="4" spans="1:15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s="1" t="s">
        <v>41</v>
      </c>
      <c r="K4" t="str">
        <v>Schr</v>
      </c>
      <c r="L4" t="str">
        <v>man</v>
      </c>
      <c r="M4" t="str">
        <v>2017</v>
      </c>
      <c r="N4" t="str">
        <v>09/08/2017</v>
      </c>
      <c r="O4" t="str">
        <v>2017</v>
      </c>
    </row>
    <row r="5" spans="1:15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s="1" t="s">
        <v>42</v>
      </c>
      <c r="K5" t="str">
        <v>Mart</v>
      </c>
      <c r="L5" t="str">
        <v>ant</v>
      </c>
      <c r="M5" t="str">
        <v>2015</v>
      </c>
      <c r="N5" t="str">
        <v>12/03/2015</v>
      </c>
      <c r="O5" t="str">
        <v>2015</v>
      </c>
    </row>
    <row r="6" spans="1:15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s="1" t="s">
        <v>43</v>
      </c>
      <c r="K6" t="str">
        <v>Flen</v>
      </c>
      <c r="L6" t="str">
        <v>HR</v>
      </c>
      <c r="M6" t="str">
        <v>2017</v>
      </c>
      <c r="N6" t="str">
        <v>8/30/2017</v>
      </c>
      <c r="O6" t="str">
        <v>2017</v>
      </c>
    </row>
    <row r="7" spans="1:15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s="1" t="s">
        <v>44</v>
      </c>
      <c r="K7" t="str">
        <v>Scot</v>
      </c>
      <c r="L7" t="str">
        <v>ger</v>
      </c>
      <c r="M7" t="str">
        <v>2013</v>
      </c>
      <c r="N7" t="str">
        <v>09/11/2013</v>
      </c>
      <c r="O7" t="str">
        <v>2013</v>
      </c>
    </row>
    <row r="8" spans="1:15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s="1" t="s">
        <v>45</v>
      </c>
      <c r="K8" t="str">
        <v>Palm</v>
      </c>
      <c r="L8" t="str">
        <v>ons</v>
      </c>
      <c r="M8" t="str">
        <v>2013</v>
      </c>
      <c r="N8" t="str">
        <v>09/11/2013</v>
      </c>
      <c r="O8" t="str">
        <v>2013</v>
      </c>
    </row>
    <row r="9" spans="1:15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s="1" t="s">
        <v>46</v>
      </c>
      <c r="K9" t="str">
        <v>Huds</v>
      </c>
      <c r="L9" t="str">
        <v>man</v>
      </c>
      <c r="M9" t="str">
        <v>2015</v>
      </c>
      <c r="N9" t="str">
        <v>4/22/2015</v>
      </c>
      <c r="O9" t="str">
        <v>2015</v>
      </c>
    </row>
    <row r="10" spans="1:15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s="1" t="s">
        <v>47</v>
      </c>
      <c r="K10" t="str">
        <v>Malo</v>
      </c>
      <c r="L10" t="str">
        <v>ant</v>
      </c>
      <c r="M10" t="str">
        <v>2015</v>
      </c>
      <c r="N10" t="str">
        <v>4/22/2015</v>
      </c>
      <c r="O10" t="str">
        <v>2015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K13"/>
  <sheetViews>
    <sheetView workbookViewId="0">
      <selection activeCell="K3" sqref="K3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TEXT(I2:I10,"dd/mm/yyyy")</f>
        <v>06/09/2015</v>
      </c>
      <c r="K2" s="2"/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10/10/2015</v>
      </c>
      <c r="K3" s="2"/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08/09/2017</v>
      </c>
      <c r="K4" s="2"/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03/12/2015</v>
      </c>
      <c r="K5" s="2"/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30/08/2017</v>
      </c>
      <c r="K6" s="2"/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11/09/2013</v>
      </c>
      <c r="K7" s="2"/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04/10/2013</v>
      </c>
      <c r="K8" s="2"/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22/04/2015</v>
      </c>
      <c r="K9" s="2"/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14/09/2011</v>
      </c>
      <c r="K10" s="2"/>
    </row>
    <row r="12" spans="1:11" x14ac:dyDescent="0.3">
      <c r="H12" s="1"/>
    </row>
    <row r="13" spans="1:11" x14ac:dyDescent="0.3">
      <c r="H1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workbookViewId="0">
      <selection activeCell="J3" sqref="J3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3">
      <c r="A2">
        <v>1001</v>
      </c>
      <c r="B2" s="2" t="s">
        <v>2</v>
      </c>
      <c r="C2" s="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TRIM(C2:C10)</f>
        <v>Halpert</v>
      </c>
    </row>
    <row r="3" spans="1:11" x14ac:dyDescent="0.3">
      <c r="A3">
        <v>1002</v>
      </c>
      <c r="B3" s="2" t="s">
        <v>4</v>
      </c>
      <c r="C3" s="2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Beasley</v>
      </c>
    </row>
    <row r="4" spans="1:11" x14ac:dyDescent="0.3">
      <c r="A4">
        <v>1003</v>
      </c>
      <c r="B4" s="2" t="s">
        <v>6</v>
      </c>
      <c r="C4" s="2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Schrute</v>
      </c>
    </row>
    <row r="5" spans="1:11" x14ac:dyDescent="0.3">
      <c r="A5">
        <v>1004</v>
      </c>
      <c r="B5" s="2" t="s">
        <v>13</v>
      </c>
      <c r="C5" s="2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Martin</v>
      </c>
    </row>
    <row r="6" spans="1:11" x14ac:dyDescent="0.3">
      <c r="A6">
        <v>1005</v>
      </c>
      <c r="B6" s="2" t="s">
        <v>14</v>
      </c>
      <c r="C6" s="2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Flenderson</v>
      </c>
    </row>
    <row r="7" spans="1:11" x14ac:dyDescent="0.3">
      <c r="A7">
        <v>1006</v>
      </c>
      <c r="B7" s="2" t="s">
        <v>8</v>
      </c>
      <c r="C7" s="2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Scott</v>
      </c>
    </row>
    <row r="8" spans="1:11" x14ac:dyDescent="0.3">
      <c r="A8">
        <v>1007</v>
      </c>
      <c r="B8" s="2" t="s">
        <v>33</v>
      </c>
      <c r="C8" s="2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Palmer</v>
      </c>
    </row>
    <row r="9" spans="1:11" x14ac:dyDescent="0.3">
      <c r="A9">
        <v>1008</v>
      </c>
      <c r="B9" s="2" t="s">
        <v>16</v>
      </c>
      <c r="C9" s="2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Hudson</v>
      </c>
    </row>
    <row r="10" spans="1:11" x14ac:dyDescent="0.3">
      <c r="A10">
        <v>1009</v>
      </c>
      <c r="B10" s="2" t="s">
        <v>10</v>
      </c>
      <c r="C10" s="2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topLeftCell="A5" workbookViewId="0">
      <selection activeCell="K2" sqref="K2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71</v>
      </c>
      <c r="K1" t="s">
        <v>90</v>
      </c>
      <c r="L1" t="s">
        <v>72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t="str" cm="1">
        <f t="array" ref="J2:J10">SUBSTITUTE(H2:H10,"/","-",1)</f>
        <v>11-2/2001</v>
      </c>
      <c r="K2" t="str" cm="1">
        <f t="array" ref="K2:K10">SUBSTITUTE(H2:H10,"/","-",2)</f>
        <v>11/2-2001</v>
      </c>
      <c r="L2" t="str">
        <f>SUBSTITUTE(H2,"/","-")</f>
        <v>11-2-2001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t="str">
        <v>10-3/1999</v>
      </c>
      <c r="K3" t="str">
        <v>10/3-1999</v>
      </c>
      <c r="L3" t="str">
        <f t="shared" ref="L3:L12" si="0">SUBSTITUTE(H3,"/","-")</f>
        <v>10-3-1999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t="str">
        <v>7-4/2000</v>
      </c>
      <c r="K4" t="str">
        <v>7/4-2000</v>
      </c>
      <c r="L4" t="str">
        <f t="shared" si="0"/>
        <v>7-4-2000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t="str">
        <v>1-5/2000</v>
      </c>
      <c r="K5" t="str">
        <v>1/5-2000</v>
      </c>
      <c r="L5" t="str">
        <f t="shared" si="0"/>
        <v>1-5-2000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t="str">
        <v>5-6/2001</v>
      </c>
      <c r="K6" t="str">
        <v>5/6-2001</v>
      </c>
      <c r="L6" t="str">
        <f t="shared" si="0"/>
        <v>5-6-2001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t="str">
        <v>5-6/2001</v>
      </c>
      <c r="K7" t="str">
        <v>5/6-2001</v>
      </c>
      <c r="L7" t="str">
        <f t="shared" si="0"/>
        <v>5-6-2001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t="str">
        <v>11-8/2003</v>
      </c>
      <c r="K8" t="str">
        <v>11/8-2003</v>
      </c>
      <c r="L8" t="str">
        <f t="shared" si="0"/>
        <v>11-8-2003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str">
        <v>6-9/2002</v>
      </c>
      <c r="K9" t="str">
        <v>6/9-2002</v>
      </c>
      <c r="L9" t="str">
        <f t="shared" si="0"/>
        <v>6-9-2002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str">
        <v>8-10/2003</v>
      </c>
      <c r="K10" t="str">
        <v>8/10-2003</v>
      </c>
      <c r="L10" t="str">
        <f t="shared" si="0"/>
        <v>8-10-2003</v>
      </c>
    </row>
    <row r="11" spans="1:12" x14ac:dyDescent="0.3">
      <c r="L11" t="str">
        <f t="shared" si="0"/>
        <v/>
      </c>
    </row>
    <row r="12" spans="1:12" x14ac:dyDescent="0.3">
      <c r="H12" s="2"/>
      <c r="I12" s="2"/>
      <c r="L12" t="str">
        <f t="shared" si="0"/>
        <v/>
      </c>
    </row>
    <row r="13" spans="1:12" x14ac:dyDescent="0.3">
      <c r="H13" s="2"/>
      <c r="I13" s="2"/>
    </row>
    <row r="14" spans="1:12" x14ac:dyDescent="0.3">
      <c r="H14" s="2"/>
      <c r="I14" s="2"/>
    </row>
    <row r="15" spans="1:12" x14ac:dyDescent="0.3">
      <c r="H15" s="2"/>
      <c r="I15" s="2"/>
    </row>
    <row r="16" spans="1:12" x14ac:dyDescent="0.3">
      <c r="H16" s="2"/>
      <c r="I16" s="2"/>
    </row>
    <row r="17" spans="8:9" x14ac:dyDescent="0.3">
      <c r="H17" s="2"/>
      <c r="I17" s="2"/>
    </row>
    <row r="18" spans="8:9" x14ac:dyDescent="0.3">
      <c r="H18" s="2"/>
      <c r="I18" s="2"/>
    </row>
    <row r="19" spans="8:9" x14ac:dyDescent="0.3">
      <c r="H19" s="2"/>
      <c r="I19" s="2"/>
    </row>
    <row r="20" spans="8:9" x14ac:dyDescent="0.3">
      <c r="H20" s="2"/>
      <c r="I20" s="2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workbookViewId="0">
      <selection activeCell="M16" sqref="M16"/>
    </sheetView>
  </sheetViews>
  <sheetFormatPr defaultColWidth="13" defaultRowHeight="14.4" x14ac:dyDescent="0.3"/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73</v>
      </c>
      <c r="K1" t="s">
        <v>74</v>
      </c>
      <c r="L1" t="s">
        <v>75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SUMIF(G2:G10,"&gt;=50000")</f>
        <v>178000</v>
      </c>
      <c r="L2">
        <f>SUMIFS(G2:G10,E2:E10,"male",D2:D10,"&gt;=35")</f>
        <v>113000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 t="shared" ref="J3:J10" si="0">SUM(G3:G11)</f>
        <v>392000</v>
      </c>
      <c r="K3">
        <f t="shared" ref="K3:K10" si="1">SUMIF(G3:G11,"&gt;=50000")</f>
        <v>178000</v>
      </c>
      <c r="L3">
        <f t="shared" ref="L3:L10" si="2">SUMIFS(G3:G11,E3:E11,"male",D3:D11,"&gt;=35")</f>
        <v>113000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f t="shared" si="0"/>
        <v>356000</v>
      </c>
      <c r="K4">
        <f t="shared" si="1"/>
        <v>178000</v>
      </c>
      <c r="L4">
        <f t="shared" si="2"/>
        <v>113000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f t="shared" si="0"/>
        <v>293000</v>
      </c>
      <c r="K5">
        <f t="shared" si="1"/>
        <v>115000</v>
      </c>
      <c r="L5">
        <f t="shared" si="2"/>
        <v>113000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f t="shared" si="0"/>
        <v>246000</v>
      </c>
      <c r="K6">
        <f t="shared" si="1"/>
        <v>115000</v>
      </c>
      <c r="L6">
        <f t="shared" si="2"/>
        <v>113000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f t="shared" si="0"/>
        <v>196000</v>
      </c>
      <c r="K7">
        <f t="shared" si="1"/>
        <v>65000</v>
      </c>
      <c r="L7">
        <f t="shared" si="2"/>
        <v>113000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f t="shared" si="0"/>
        <v>131000</v>
      </c>
      <c r="K8">
        <f t="shared" si="1"/>
        <v>0</v>
      </c>
      <c r="L8">
        <f t="shared" si="2"/>
        <v>48000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f t="shared" si="0"/>
        <v>90000</v>
      </c>
      <c r="K9">
        <f t="shared" si="1"/>
        <v>0</v>
      </c>
      <c r="L9">
        <f t="shared" si="2"/>
        <v>48000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f t="shared" si="0"/>
        <v>42000</v>
      </c>
      <c r="K10">
        <f t="shared" si="1"/>
        <v>0</v>
      </c>
      <c r="L10">
        <f t="shared" si="2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tabSelected="1" workbookViewId="0">
      <selection activeCell="I20" sqref="I20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76</v>
      </c>
      <c r="K1" t="s">
        <v>77</v>
      </c>
      <c r="L1" t="s">
        <v>78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COUNT(G2:G10)</f>
        <v>9</v>
      </c>
      <c r="K2">
        <f>COUNTIF(G2:G10,"&gt;50000")</f>
        <v>2</v>
      </c>
      <c r="L2">
        <f>COUNTIFS(E2:E10,"male",A2:A10,"&gt;1003")</f>
        <v>4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 t="shared" ref="J3:J10" si="0">COUNT(G3:G11)</f>
        <v>8</v>
      </c>
      <c r="K3">
        <f t="shared" ref="K3:K10" si="1">COUNTIF(G3:G11,"&gt;50000")</f>
        <v>2</v>
      </c>
      <c r="L3">
        <f t="shared" ref="L3:L10" si="2">COUNTIFS(E3:E11,"male",A3:A11,"&gt;1003")</f>
        <v>4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f t="shared" si="0"/>
        <v>7</v>
      </c>
      <c r="K4">
        <f t="shared" si="1"/>
        <v>2</v>
      </c>
      <c r="L4">
        <f t="shared" si="2"/>
        <v>4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f t="shared" si="0"/>
        <v>6</v>
      </c>
      <c r="K5">
        <f t="shared" si="1"/>
        <v>1</v>
      </c>
      <c r="L5">
        <f t="shared" si="2"/>
        <v>4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f t="shared" si="0"/>
        <v>5</v>
      </c>
      <c r="K6">
        <f t="shared" si="1"/>
        <v>1</v>
      </c>
      <c r="L6">
        <f t="shared" si="2"/>
        <v>4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f t="shared" si="0"/>
        <v>4</v>
      </c>
      <c r="K7">
        <f t="shared" si="1"/>
        <v>1</v>
      </c>
      <c r="L7">
        <f t="shared" si="2"/>
        <v>3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f t="shared" si="0"/>
        <v>3</v>
      </c>
      <c r="K8">
        <f t="shared" si="1"/>
        <v>0</v>
      </c>
      <c r="L8">
        <f t="shared" si="2"/>
        <v>2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f t="shared" si="0"/>
        <v>2</v>
      </c>
      <c r="K9">
        <f t="shared" si="1"/>
        <v>0</v>
      </c>
      <c r="L9">
        <f t="shared" si="2"/>
        <v>2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f t="shared" si="0"/>
        <v>1</v>
      </c>
      <c r="K10">
        <f t="shared" si="1"/>
        <v>0</v>
      </c>
      <c r="L10">
        <f t="shared" si="2"/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M12"/>
  <sheetViews>
    <sheetView workbookViewId="0">
      <selection activeCell="E23" sqref="E23"/>
    </sheetView>
  </sheetViews>
  <sheetFormatPr defaultRowHeight="14.4" x14ac:dyDescent="0.3"/>
  <cols>
    <col min="2" max="2" width="10.44140625" customWidth="1"/>
    <col min="3" max="5" width="10.6640625" customWidth="1"/>
    <col min="6" max="6" width="16.5546875" customWidth="1"/>
    <col min="8" max="8" width="14.21875" customWidth="1"/>
    <col min="9" max="9" width="14.77734375" customWidth="1"/>
    <col min="10" max="10" width="22" bestFit="1" customWidth="1"/>
    <col min="13" max="13" width="8.88671875" customWidth="1"/>
  </cols>
  <sheetData>
    <row r="1" spans="1:13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  <c r="K1" t="s">
        <v>89</v>
      </c>
    </row>
    <row r="2" spans="1:13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_xlfn.CONCAT(B2," ",C2)</f>
        <v>Jim Halpert</v>
      </c>
      <c r="K2" t="str">
        <f>LOWER(B2)</f>
        <v>jim</v>
      </c>
      <c r="L2" t="str">
        <f>LOWER(C2)</f>
        <v>halpert</v>
      </c>
      <c r="M2" t="str">
        <f>_xlfn.CONCAT(K2,L2,"@gmail.com")</f>
        <v>jimhalpert@gmail.com</v>
      </c>
    </row>
    <row r="3" spans="1:13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1" si="0">_xlfn.CONCAT(B3," ",C3)</f>
        <v>Pam Beasley</v>
      </c>
      <c r="K3" t="str">
        <f t="shared" ref="K3:K10" si="1">LOWER(B3)</f>
        <v>pam</v>
      </c>
      <c r="L3" t="str">
        <f t="shared" ref="L3:L10" si="2">LOWER(C3)</f>
        <v>beasley</v>
      </c>
      <c r="M3" t="str">
        <f t="shared" ref="M3:M10" si="3">_xlfn.CONCAT(K3,L3,"@gmail.com")</f>
        <v>pambeasley@gmail.com</v>
      </c>
    </row>
    <row r="4" spans="1:13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Dwight Schrute</v>
      </c>
      <c r="K4" t="str">
        <f t="shared" si="1"/>
        <v>dwight</v>
      </c>
      <c r="L4" t="str">
        <f t="shared" si="2"/>
        <v>schrute</v>
      </c>
      <c r="M4" t="str">
        <f t="shared" si="3"/>
        <v>dwightschrute@gmail.com</v>
      </c>
    </row>
    <row r="5" spans="1:13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Angela Martin</v>
      </c>
      <c r="K5" t="str">
        <f t="shared" si="1"/>
        <v>angela</v>
      </c>
      <c r="L5" t="str">
        <f t="shared" si="2"/>
        <v>martin</v>
      </c>
      <c r="M5" t="str">
        <f t="shared" si="3"/>
        <v>angelamartin@gmail.com</v>
      </c>
    </row>
    <row r="6" spans="1:13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Toby Flenderson</v>
      </c>
      <c r="K6" t="str">
        <f t="shared" si="1"/>
        <v>toby</v>
      </c>
      <c r="L6" t="str">
        <f t="shared" si="2"/>
        <v>flenderson</v>
      </c>
      <c r="M6" t="str">
        <f t="shared" si="3"/>
        <v>tobyflenderson@gmail.com</v>
      </c>
    </row>
    <row r="7" spans="1:13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Michael Scott</v>
      </c>
      <c r="K7" t="str">
        <f t="shared" si="1"/>
        <v>michael</v>
      </c>
      <c r="L7" t="str">
        <f t="shared" si="2"/>
        <v>scott</v>
      </c>
      <c r="M7" t="str">
        <f t="shared" si="3"/>
        <v>michaelscott@gmail.com</v>
      </c>
    </row>
    <row r="8" spans="1:13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Meredith Palmer</v>
      </c>
      <c r="K8" t="str">
        <f t="shared" si="1"/>
        <v>meredith</v>
      </c>
      <c r="L8" t="str">
        <f t="shared" si="2"/>
        <v>palmer</v>
      </c>
      <c r="M8" t="str">
        <f t="shared" si="3"/>
        <v>meredithpalmer@gmail.com</v>
      </c>
    </row>
    <row r="9" spans="1:13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Stanley Hudson</v>
      </c>
      <c r="K9" t="str">
        <f t="shared" si="1"/>
        <v>stanley</v>
      </c>
      <c r="L9" t="str">
        <f t="shared" si="2"/>
        <v>hudson</v>
      </c>
      <c r="M9" t="str">
        <f t="shared" si="3"/>
        <v>stanleyhudson@gmail.com</v>
      </c>
    </row>
    <row r="10" spans="1:13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Kevin Malone</v>
      </c>
      <c r="K10" t="str">
        <f t="shared" si="1"/>
        <v>kevin</v>
      </c>
      <c r="L10" t="str">
        <f t="shared" si="2"/>
        <v>malone</v>
      </c>
      <c r="M10" t="str">
        <f t="shared" si="3"/>
        <v>kevinmalone@gmail.com</v>
      </c>
    </row>
    <row r="11" spans="1:13" x14ac:dyDescent="0.3">
      <c r="H11" t="str">
        <f t="shared" ref="H11:H12" si="4">CONCATENATE(B11," ",C11)</f>
        <v xml:space="preserve"> </v>
      </c>
      <c r="J11" t="str">
        <f t="shared" si="0"/>
        <v xml:space="preserve"> </v>
      </c>
    </row>
    <row r="12" spans="1:13" x14ac:dyDescent="0.3">
      <c r="H12" t="str">
        <f t="shared" si="4"/>
        <v xml:space="preserve"> 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0"/>
  <sheetViews>
    <sheetView workbookViewId="0">
      <selection activeCell="J2" sqref="J2"/>
    </sheetView>
  </sheetViews>
  <sheetFormatPr defaultRowHeight="14.4" x14ac:dyDescent="0.3"/>
  <cols>
    <col min="8" max="8" width="14.44140625" customWidth="1"/>
    <col min="9" max="9" width="13.332031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83</v>
      </c>
      <c r="K1" t="s">
        <v>84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Charts</vt:lpstr>
      </vt:variant>
      <vt:variant>
        <vt:i4>1</vt:i4>
      </vt:variant>
    </vt:vector>
  </HeadingPairs>
  <TitlesOfParts>
    <vt:vector size="12" baseType="lpstr">
      <vt:lpstr>Max-Min</vt:lpstr>
      <vt:lpstr>IF-IFS</vt:lpstr>
      <vt:lpstr>Len</vt:lpstr>
      <vt:lpstr>LeftRight</vt:lpstr>
      <vt:lpstr>DateToText</vt:lpstr>
      <vt:lpstr>TRIM</vt:lpstr>
      <vt:lpstr>Substitute</vt:lpstr>
      <vt:lpstr>SUM-SumIF</vt:lpstr>
      <vt:lpstr>Count-CountIF</vt:lpstr>
      <vt:lpstr>Concatenate</vt:lpstr>
      <vt:lpstr>Days-NetworkDays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Kaushal Kumar</cp:lastModifiedBy>
  <dcterms:created xsi:type="dcterms:W3CDTF">2021-12-16T14:18:34Z</dcterms:created>
  <dcterms:modified xsi:type="dcterms:W3CDTF">2026-02-07T11:15:47Z</dcterms:modified>
</cp:coreProperties>
</file>